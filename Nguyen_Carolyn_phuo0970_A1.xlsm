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2" codeName="{6FAF9771-9DB2-4A1A-D8F3-B0B0F40AE569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carolynngyuen/Downloads/CP212/CP212 Assignments/"/>
    </mc:Choice>
  </mc:AlternateContent>
  <xr:revisionPtr revIDLastSave="0" documentId="8_{35956838-59CC-554D-8BEF-389778EE4A01}" xr6:coauthVersionLast="47" xr6:coauthVersionMax="47" xr10:uidLastSave="{00000000-0000-0000-0000-000000000000}"/>
  <bookViews>
    <workbookView xWindow="0" yWindow="500" windowWidth="28800" windowHeight="16620" activeTab="1" xr2:uid="{5487C3F3-F603-BB42-8655-D8F9C6189D1E}"/>
  </bookViews>
  <sheets>
    <sheet name="PMT" sheetId="1" r:id="rId1"/>
    <sheet name="Macro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3" i="2" l="1"/>
  <c r="C14" i="2"/>
  <c r="C15" i="2"/>
  <c r="C16" i="2"/>
  <c r="C17" i="2"/>
  <c r="C18" i="2"/>
  <c r="C19" i="2"/>
  <c r="C20" i="2"/>
  <c r="C21" i="2"/>
  <c r="C22" i="2"/>
  <c r="C12" i="2"/>
  <c r="A13" i="2"/>
  <c r="A14" i="2"/>
  <c r="A15" i="2"/>
  <c r="A16" i="2"/>
  <c r="A17" i="2"/>
  <c r="A18" i="2"/>
  <c r="A19" i="2"/>
  <c r="A20" i="2"/>
  <c r="A21" i="2"/>
  <c r="A22" i="2"/>
  <c r="A12" i="2"/>
  <c r="B15" i="1"/>
  <c r="B16" i="1" s="1"/>
  <c r="B14" i="1"/>
  <c r="B10" i="1"/>
  <c r="C19" i="1"/>
  <c r="C20" i="1"/>
  <c r="C21" i="1"/>
  <c r="C22" i="1"/>
  <c r="C23" i="1"/>
  <c r="C24" i="1"/>
  <c r="C25" i="1"/>
  <c r="C26" i="1"/>
  <c r="C27" i="1"/>
  <c r="C28" i="1"/>
  <c r="C29" i="1"/>
  <c r="A20" i="1"/>
  <c r="A21" i="1"/>
  <c r="A22" i="1"/>
  <c r="A23" i="1"/>
  <c r="A24" i="1"/>
  <c r="A25" i="1"/>
  <c r="A26" i="1"/>
  <c r="A27" i="1"/>
  <c r="A28" i="1"/>
  <c r="A29" i="1"/>
  <c r="A19" i="1"/>
</calcChain>
</file>

<file path=xl/sharedStrings.xml><?xml version="1.0" encoding="utf-8"?>
<sst xmlns="http://schemas.openxmlformats.org/spreadsheetml/2006/main" count="34" uniqueCount="21">
  <si>
    <t>First Name:</t>
  </si>
  <si>
    <t>Last Name:</t>
  </si>
  <si>
    <t>ID:</t>
  </si>
  <si>
    <t xml:space="preserve">Email: </t>
  </si>
  <si>
    <t>Carolyn</t>
  </si>
  <si>
    <t>Nguyen</t>
  </si>
  <si>
    <t>phuo0970@mylaurier.ca</t>
  </si>
  <si>
    <r>
      <rPr>
        <b/>
        <sz val="12"/>
        <color rgb="FF0070C0"/>
        <rFont val="Aptos Narrow (Body)"/>
      </rPr>
      <t>Method 1:</t>
    </r>
    <r>
      <rPr>
        <b/>
        <sz val="12"/>
        <color theme="1"/>
        <rFont val="Aptos Narrow"/>
        <scheme val="minor"/>
      </rPr>
      <t xml:space="preserve"> Using PMT function to Find Monthly Payment</t>
    </r>
  </si>
  <si>
    <t>pv (loan)=</t>
  </si>
  <si>
    <t xml:space="preserve">Annual Rate = </t>
  </si>
  <si>
    <t xml:space="preserve">Year = </t>
  </si>
  <si>
    <t xml:space="preserve">Monthly Payment = </t>
  </si>
  <si>
    <r>
      <rPr>
        <b/>
        <sz val="12"/>
        <color rgb="FF0070C0"/>
        <rFont val="Aptos Narrow (Body)"/>
      </rPr>
      <t>Method 2:</t>
    </r>
    <r>
      <rPr>
        <b/>
        <sz val="12"/>
        <color theme="1"/>
        <rFont val="Aptos Narrow"/>
        <scheme val="minor"/>
      </rPr>
      <t xml:space="preserve"> Create formula from Equation to find Monthly Payment</t>
    </r>
  </si>
  <si>
    <t>pv (loan) =</t>
  </si>
  <si>
    <t>rate (per month) =</t>
  </si>
  <si>
    <t>nper (months) =</t>
  </si>
  <si>
    <t>Rate per month</t>
  </si>
  <si>
    <t>Annual Rate</t>
  </si>
  <si>
    <t>Monthly Payments</t>
  </si>
  <si>
    <t>Given condition:</t>
  </si>
  <si>
    <t>Year =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</si>
</sst>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(&quot;$&quot;* #,##0.00_);_(&quot;$&quot;* \(#,##0.00\);_(&quot;$&quot;* &quot;-&quot;??_);_(@_)"/>
    <numFmt numFmtId="164" formatCode="&quot;$&quot;#,##0.00"/>
  </numFmts>
  <fonts count="6" x14ac:knownFonts="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u/>
      <sz val="12"/>
      <color theme="10"/>
      <name val="Aptos Narrow"/>
      <family val="2"/>
      <scheme val="minor"/>
    </font>
    <font>
      <b/>
      <sz val="12"/>
      <color theme="1"/>
      <name val="Aptos Narrow"/>
      <scheme val="minor"/>
    </font>
    <font>
      <b/>
      <sz val="12"/>
      <color rgb="FF0070C0"/>
      <name val="Aptos Narrow (Body)"/>
    </font>
    <font>
      <b/>
      <sz val="15"/>
      <color rgb="FF000000"/>
      <name val="Aptos Narrow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</cellStyleXfs>
  <cellXfs count="22">
    <xf numFmtId="0" fontId="0" fillId="0" borderId="0" xfId="0"/>
    <xf numFmtId="0" fontId="3" fillId="0" borderId="0" xfId="0" applyFont="1" applyAlignment="1">
      <alignment horizontal="center"/>
    </xf>
    <xf numFmtId="44" fontId="0" fillId="0" borderId="1" xfId="1" applyFont="1" applyBorder="1"/>
    <xf numFmtId="10" fontId="0" fillId="0" borderId="1" xfId="2" applyNumberFormat="1" applyFont="1" applyBorder="1" applyAlignment="1">
      <alignment horizontal="center"/>
    </xf>
    <xf numFmtId="10" fontId="0" fillId="0" borderId="1" xfId="2" applyNumberFormat="1" applyFont="1" applyBorder="1"/>
    <xf numFmtId="0" fontId="0" fillId="0" borderId="2" xfId="0" applyBorder="1"/>
    <xf numFmtId="0" fontId="0" fillId="0" borderId="4" xfId="0" applyBorder="1"/>
    <xf numFmtId="0" fontId="0" fillId="0" borderId="6" xfId="0" applyBorder="1"/>
    <xf numFmtId="0" fontId="0" fillId="0" borderId="3" xfId="0" applyBorder="1" applyAlignment="1">
      <alignment horizontal="center" vertical="top"/>
    </xf>
    <xf numFmtId="0" fontId="0" fillId="0" borderId="5" xfId="0" applyBorder="1" applyAlignment="1">
      <alignment horizontal="center" vertical="top"/>
    </xf>
    <xf numFmtId="0" fontId="2" fillId="0" borderId="7" xfId="3" applyBorder="1" applyAlignment="1">
      <alignment horizontal="center" vertical="top"/>
    </xf>
    <xf numFmtId="164" fontId="0" fillId="0" borderId="3" xfId="0" applyNumberFormat="1" applyBorder="1" applyAlignment="1">
      <alignment horizontal="center"/>
    </xf>
    <xf numFmtId="10" fontId="0" fillId="0" borderId="5" xfId="0" applyNumberFormat="1" applyBorder="1" applyAlignment="1">
      <alignment horizontal="center"/>
    </xf>
    <xf numFmtId="0" fontId="0" fillId="0" borderId="5" xfId="0" applyBorder="1" applyAlignment="1">
      <alignment horizontal="center"/>
    </xf>
    <xf numFmtId="164" fontId="0" fillId="0" borderId="7" xfId="0" applyNumberFormat="1" applyBorder="1" applyAlignment="1">
      <alignment horizontal="center"/>
    </xf>
    <xf numFmtId="0" fontId="0" fillId="0" borderId="0" xfId="0" applyAlignment="1">
      <alignment horizontal="center" vertical="top"/>
    </xf>
    <xf numFmtId="0" fontId="2" fillId="0" borderId="0" xfId="3" applyBorder="1" applyAlignment="1">
      <alignment horizontal="center" vertical="top"/>
    </xf>
    <xf numFmtId="0" fontId="0" fillId="0" borderId="7" xfId="0" applyBorder="1" applyAlignment="1">
      <alignment horizontal="center"/>
    </xf>
    <xf numFmtId="164" fontId="0" fillId="0" borderId="3" xfId="1" applyNumberFormat="1" applyFont="1" applyBorder="1" applyAlignment="1">
      <alignment horizontal="center"/>
    </xf>
    <xf numFmtId="164" fontId="0" fillId="0" borderId="0" xfId="0" applyNumberFormat="1" applyAlignment="1">
      <alignment horizontal="center"/>
    </xf>
    <xf numFmtId="10" fontId="0" fillId="0" borderId="0" xfId="0" applyNumberFormat="1" applyAlignment="1">
      <alignment horizontal="center"/>
    </xf>
    <xf numFmtId="0" fontId="3" fillId="0" borderId="0" xfId="0" applyFont="1"/>
  </cellXfs>
  <cellStyles count="4">
    <cellStyle name="Currency" xfId="1" builtinId="4"/>
    <cellStyle name="Hyperlink" xfId="3" builtinId="8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chemeClr val="tx2">
                    <a:lumMod val="90000"/>
                    <a:lumOff val="10000"/>
                  </a:schemeClr>
                </a:solidFill>
              </a:rPr>
              <a:t>The effect if Annual</a:t>
            </a:r>
            <a:r>
              <a:rPr lang="en-US" b="1" baseline="0">
                <a:solidFill>
                  <a:schemeClr val="tx2">
                    <a:lumMod val="90000"/>
                    <a:lumOff val="10000"/>
                  </a:schemeClr>
                </a:solidFill>
              </a:rPr>
              <a:t> Interest on the Monthly Payment</a:t>
            </a:r>
            <a:endParaRPr lang="en-US" b="1">
              <a:solidFill>
                <a:schemeClr val="tx2">
                  <a:lumMod val="90000"/>
                  <a:lumOff val="10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PMT!$B$19:$B$29</c:f>
              <c:numCache>
                <c:formatCode>0.00%</c:formatCode>
                <c:ptCount val="11"/>
                <c:pt idx="0">
                  <c:v>0.02</c:v>
                </c:pt>
                <c:pt idx="1">
                  <c:v>2.5000000000000001E-2</c:v>
                </c:pt>
                <c:pt idx="2">
                  <c:v>0.03</c:v>
                </c:pt>
                <c:pt idx="3">
                  <c:v>3.5000000000000003E-2</c:v>
                </c:pt>
                <c:pt idx="4">
                  <c:v>0.04</c:v>
                </c:pt>
                <c:pt idx="5">
                  <c:v>4.4999999999999998E-2</c:v>
                </c:pt>
                <c:pt idx="6">
                  <c:v>0.05</c:v>
                </c:pt>
                <c:pt idx="7">
                  <c:v>5.5E-2</c:v>
                </c:pt>
                <c:pt idx="8">
                  <c:v>0.06</c:v>
                </c:pt>
                <c:pt idx="9">
                  <c:v>6.5000000000000002E-2</c:v>
                </c:pt>
                <c:pt idx="10">
                  <c:v>7.0000000000000007E-2</c:v>
                </c:pt>
              </c:numCache>
            </c:numRef>
          </c:xVal>
          <c:yVal>
            <c:numRef>
              <c:f>PMT!$C$19:$C$29</c:f>
              <c:numCache>
                <c:formatCode>_("$"* #,##0.00_);_("$"* \(#,##0.00\);_("$"* "-"??_);_(@_)</c:formatCode>
                <c:ptCount val="11"/>
                <c:pt idx="0">
                  <c:v>525.83280159733135</c:v>
                </c:pt>
                <c:pt idx="1">
                  <c:v>532.4208481644082</c:v>
                </c:pt>
                <c:pt idx="2">
                  <c:v>539.06071992189413</c:v>
                </c:pt>
                <c:pt idx="3">
                  <c:v>545.752349107692</c:v>
                </c:pt>
                <c:pt idx="4">
                  <c:v>552.49566165799058</c:v>
                </c:pt>
                <c:pt idx="5">
                  <c:v>559.29057724549943</c:v>
                </c:pt>
                <c:pt idx="6">
                  <c:v>566.13700932032805</c:v>
                </c:pt>
                <c:pt idx="7">
                  <c:v>573.03486515346731</c:v>
                </c:pt>
                <c:pt idx="8">
                  <c:v>579.98404588283745</c:v>
                </c:pt>
                <c:pt idx="9">
                  <c:v>586.9844465618562</c:v>
                </c:pt>
                <c:pt idx="10">
                  <c:v>594.03595621048612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79-F147-95CD-3BD52F5328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0357055"/>
        <c:axId val="2019208431"/>
      </c:scatterChart>
      <c:valAx>
        <c:axId val="1660357055"/>
        <c:scaling>
          <c:orientation val="minMax"/>
          <c:min val="0.0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>
                    <a:solidFill>
                      <a:schemeClr val="tx2">
                        <a:lumMod val="90000"/>
                        <a:lumOff val="10000"/>
                      </a:schemeClr>
                    </a:solidFill>
                  </a:rPr>
                  <a:t>Annual</a:t>
                </a:r>
                <a:r>
                  <a:rPr lang="en-US" b="1" baseline="0">
                    <a:solidFill>
                      <a:schemeClr val="tx2">
                        <a:lumMod val="90000"/>
                        <a:lumOff val="10000"/>
                      </a:schemeClr>
                    </a:solidFill>
                  </a:rPr>
                  <a:t> Interest Rate</a:t>
                </a:r>
                <a:endParaRPr lang="en-US" b="1">
                  <a:solidFill>
                    <a:schemeClr val="tx2">
                      <a:lumMod val="90000"/>
                      <a:lumOff val="10000"/>
                    </a:schemeClr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19208431"/>
        <c:crosses val="autoZero"/>
        <c:crossBetween val="midCat"/>
        <c:majorUnit val="0.01"/>
      </c:valAx>
      <c:valAx>
        <c:axId val="20192084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>
                    <a:solidFill>
                      <a:schemeClr val="tx2">
                        <a:lumMod val="90000"/>
                        <a:lumOff val="10000"/>
                      </a:schemeClr>
                    </a:solidFill>
                  </a:rPr>
                  <a:t>Montly</a:t>
                </a:r>
                <a:r>
                  <a:rPr lang="en-US" b="1" baseline="0">
                    <a:solidFill>
                      <a:schemeClr val="tx2">
                        <a:lumMod val="90000"/>
                        <a:lumOff val="10000"/>
                      </a:schemeClr>
                    </a:solidFill>
                  </a:rPr>
                  <a:t> Payment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&quot;$&quot;* #,##0_);_(&quot;$&quot;* \(#,##0\);_(&quot;$&quot;* &quot;-&quot;_);_(@_)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60357055"/>
        <c:crosses val="autoZero"/>
        <c:crossBetween val="midCat"/>
        <c:majorUnit val="2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chemeClr val="tx2">
                    <a:lumMod val="90000"/>
                    <a:lumOff val="10000"/>
                  </a:schemeClr>
                </a:solidFill>
              </a:rPr>
              <a:t>The effect of Interest Rate on Monthly Payment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Macro!$B$12:$B$22</c:f>
              <c:numCache>
                <c:formatCode>0.00%</c:formatCode>
                <c:ptCount val="11"/>
                <c:pt idx="0">
                  <c:v>0.02</c:v>
                </c:pt>
                <c:pt idx="1">
                  <c:v>2.5000000000000001E-2</c:v>
                </c:pt>
                <c:pt idx="2">
                  <c:v>0.03</c:v>
                </c:pt>
                <c:pt idx="3">
                  <c:v>3.5000000000000003E-2</c:v>
                </c:pt>
                <c:pt idx="4">
                  <c:v>0.04</c:v>
                </c:pt>
                <c:pt idx="5">
                  <c:v>4.4999999999999998E-2</c:v>
                </c:pt>
                <c:pt idx="6">
                  <c:v>0.05</c:v>
                </c:pt>
                <c:pt idx="7">
                  <c:v>5.5E-2</c:v>
                </c:pt>
                <c:pt idx="8">
                  <c:v>0.06</c:v>
                </c:pt>
                <c:pt idx="9">
                  <c:v>6.5000000000000002E-2</c:v>
                </c:pt>
                <c:pt idx="10">
                  <c:v>7.0000000000000007E-2</c:v>
                </c:pt>
              </c:numCache>
            </c:numRef>
          </c:xVal>
          <c:yVal>
            <c:numRef>
              <c:f>Macro!$C$12:$C$22</c:f>
              <c:numCache>
                <c:formatCode>"$"#,##0.00</c:formatCode>
                <c:ptCount val="11"/>
                <c:pt idx="0">
                  <c:v>525.83280159733135</c:v>
                </c:pt>
                <c:pt idx="1">
                  <c:v>532.4208481644082</c:v>
                </c:pt>
                <c:pt idx="2">
                  <c:v>539.06071992189413</c:v>
                </c:pt>
                <c:pt idx="3">
                  <c:v>545.752349107692</c:v>
                </c:pt>
                <c:pt idx="4">
                  <c:v>552.49566165799058</c:v>
                </c:pt>
                <c:pt idx="5">
                  <c:v>559.29057724549943</c:v>
                </c:pt>
                <c:pt idx="6">
                  <c:v>566.13700932032805</c:v>
                </c:pt>
                <c:pt idx="7">
                  <c:v>573.03486515346731</c:v>
                </c:pt>
                <c:pt idx="8">
                  <c:v>579.98404588283745</c:v>
                </c:pt>
                <c:pt idx="9">
                  <c:v>586.9844465618562</c:v>
                </c:pt>
                <c:pt idx="10">
                  <c:v>594.03595621048612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64-FB45-BA72-7F01A98703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6358960"/>
        <c:axId val="666360672"/>
      </c:scatterChart>
      <c:valAx>
        <c:axId val="666358960"/>
        <c:scaling>
          <c:orientation val="minMax"/>
          <c:min val="0.0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>
                    <a:solidFill>
                      <a:schemeClr val="tx2">
                        <a:lumMod val="90000"/>
                        <a:lumOff val="10000"/>
                      </a:schemeClr>
                    </a:solidFill>
                  </a:rPr>
                  <a:t>Annual Interest Rate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6360672"/>
        <c:crosses val="autoZero"/>
        <c:crossBetween val="midCat"/>
      </c:valAx>
      <c:valAx>
        <c:axId val="666360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>
                    <a:solidFill>
                      <a:schemeClr val="tx2">
                        <a:lumMod val="90000"/>
                        <a:lumOff val="10000"/>
                      </a:schemeClr>
                    </a:solidFill>
                  </a:rPr>
                  <a:t>Monthly Payment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6358960"/>
        <c:crosses val="autoZero"/>
        <c:crossBetween val="midCat"/>
        <c:majorUnit val="2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426720</xdr:colOff>
      <xdr:row>15</xdr:row>
      <xdr:rowOff>81280</xdr:rowOff>
    </xdr:from>
    <xdr:to>
      <xdr:col>9</xdr:col>
      <xdr:colOff>670560</xdr:colOff>
      <xdr:row>29</xdr:row>
      <xdr:rowOff>101600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457200</xdr:colOff>
      <xdr:row>6</xdr:row>
      <xdr:rowOff>182880</xdr:rowOff>
    </xdr:from>
    <xdr:to>
      <xdr:col>9</xdr:col>
      <xdr:colOff>457200</xdr:colOff>
      <xdr:row>22</xdr:row>
      <xdr:rowOff>66040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596900</xdr:colOff>
          <xdr:row>1</xdr:row>
          <xdr:rowOff>127000</xdr:rowOff>
        </xdr:from>
        <xdr:to>
          <xdr:col>5</xdr:col>
          <xdr:colOff>38100</xdr:colOff>
          <xdr:row>4</xdr:row>
          <xdr:rowOff>76200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500" b="1" i="0" u="none" strike="noStrike" baseline="0">
                  <a:solidFill>
                    <a:srgbClr val="000000"/>
                  </a:solidFill>
                  <a:latin typeface="Aptos Narrow" charset="0"/>
                </a:rPr>
                <a:t>Calculate Monthly Payment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mailto:phuo0970@mylaurier.ca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hyperlink" Target="mailto:phuo0970@mylaurier.ca" TargetMode="Externa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D90ACC-4695-934F-A138-13BA9A661289}">
  <dimension ref="A1:D29"/>
  <sheetViews>
    <sheetView topLeftCell="A5" zoomScale="125" zoomScaleNormal="125" workbookViewId="0">
      <selection activeCell="C11" sqref="C11"/>
    </sheetView>
  </sheetViews>
  <sheetFormatPr baseColWidth="10" defaultRowHeight="16" x14ac:dyDescent="0.2"/>
  <cols>
    <col min="1" max="1" width="16.5" customWidth="1"/>
    <col min="2" max="2" width="22.5" customWidth="1"/>
    <col min="3" max="3" width="18.1640625" customWidth="1"/>
    <col min="4" max="4" width="8.83203125" customWidth="1"/>
  </cols>
  <sheetData>
    <row r="1" spans="1:4" x14ac:dyDescent="0.2">
      <c r="A1" s="5" t="s">
        <v>0</v>
      </c>
      <c r="B1" s="8" t="s">
        <v>4</v>
      </c>
    </row>
    <row r="2" spans="1:4" x14ac:dyDescent="0.2">
      <c r="A2" s="6" t="s">
        <v>1</v>
      </c>
      <c r="B2" s="9" t="s">
        <v>5</v>
      </c>
    </row>
    <row r="3" spans="1:4" x14ac:dyDescent="0.2">
      <c r="A3" s="6" t="s">
        <v>2</v>
      </c>
      <c r="B3" s="9">
        <v>210400970</v>
      </c>
    </row>
    <row r="4" spans="1:4" ht="17" thickBot="1" x14ac:dyDescent="0.25">
      <c r="A4" s="7" t="s">
        <v>3</v>
      </c>
      <c r="B4" s="10" t="s">
        <v>6</v>
      </c>
    </row>
    <row r="6" spans="1:4" ht="17" thickBot="1" x14ac:dyDescent="0.25">
      <c r="A6" s="21" t="s">
        <v>7</v>
      </c>
      <c r="B6" s="21"/>
      <c r="C6" s="21"/>
    </row>
    <row r="7" spans="1:4" x14ac:dyDescent="0.2">
      <c r="A7" s="5" t="s">
        <v>8</v>
      </c>
      <c r="B7" s="11">
        <v>30000</v>
      </c>
    </row>
    <row r="8" spans="1:4" x14ac:dyDescent="0.2">
      <c r="A8" s="6" t="s">
        <v>9</v>
      </c>
      <c r="B8" s="12">
        <v>7.0000000000000007E-2</v>
      </c>
    </row>
    <row r="9" spans="1:4" x14ac:dyDescent="0.2">
      <c r="A9" s="6" t="s">
        <v>10</v>
      </c>
      <c r="B9" s="13">
        <v>5</v>
      </c>
    </row>
    <row r="10" spans="1:4" ht="17" thickBot="1" x14ac:dyDescent="0.25">
      <c r="A10" s="7" t="s">
        <v>11</v>
      </c>
      <c r="B10" s="14">
        <f>ABS(PMT(B8/12, B9*12, B7))</f>
        <v>594.03595621048612</v>
      </c>
    </row>
    <row r="12" spans="1:4" ht="17" thickBot="1" x14ac:dyDescent="0.25">
      <c r="A12" s="21" t="s">
        <v>12</v>
      </c>
      <c r="B12" s="21"/>
      <c r="C12" s="21"/>
      <c r="D12" s="21"/>
    </row>
    <row r="13" spans="1:4" x14ac:dyDescent="0.2">
      <c r="A13" s="5" t="s">
        <v>13</v>
      </c>
      <c r="B13" s="11">
        <v>30000</v>
      </c>
    </row>
    <row r="14" spans="1:4" x14ac:dyDescent="0.2">
      <c r="A14" s="6" t="s">
        <v>14</v>
      </c>
      <c r="B14" s="12">
        <f>B8/12</f>
        <v>5.8333333333333336E-3</v>
      </c>
    </row>
    <row r="15" spans="1:4" x14ac:dyDescent="0.2">
      <c r="A15" s="6" t="s">
        <v>15</v>
      </c>
      <c r="B15" s="13">
        <f>B9*12</f>
        <v>60</v>
      </c>
    </row>
    <row r="16" spans="1:4" ht="17" thickBot="1" x14ac:dyDescent="0.25">
      <c r="A16" s="7" t="s">
        <v>11</v>
      </c>
      <c r="B16" s="14">
        <f>(B14*B13)/(1-POWER(1+B14, -B15))</f>
        <v>594.0359562104843</v>
      </c>
    </row>
    <row r="18" spans="1:3" x14ac:dyDescent="0.2">
      <c r="A18" s="1" t="s">
        <v>16</v>
      </c>
      <c r="B18" s="1" t="s">
        <v>17</v>
      </c>
      <c r="C18" s="1" t="s">
        <v>18</v>
      </c>
    </row>
    <row r="19" spans="1:3" x14ac:dyDescent="0.2">
      <c r="A19" s="4">
        <f>B19/12</f>
        <v>1.6666666666666668E-3</v>
      </c>
      <c r="B19" s="3">
        <v>0.02</v>
      </c>
      <c r="C19" s="2">
        <f>ABS(PMT(B19/12, $B$9*12, $B$7))</f>
        <v>525.83280159733135</v>
      </c>
    </row>
    <row r="20" spans="1:3" x14ac:dyDescent="0.2">
      <c r="A20" s="4">
        <f t="shared" ref="A20:A29" si="0">B20/12</f>
        <v>2.0833333333333333E-3</v>
      </c>
      <c r="B20" s="3">
        <v>2.5000000000000001E-2</v>
      </c>
      <c r="C20" s="2">
        <f t="shared" ref="C20:C29" si="1">ABS(PMT(B20/12, $B$9*12, $B$7))</f>
        <v>532.4208481644082</v>
      </c>
    </row>
    <row r="21" spans="1:3" x14ac:dyDescent="0.2">
      <c r="A21" s="4">
        <f t="shared" si="0"/>
        <v>2.5000000000000001E-3</v>
      </c>
      <c r="B21" s="3">
        <v>0.03</v>
      </c>
      <c r="C21" s="2">
        <f t="shared" si="1"/>
        <v>539.06071992189413</v>
      </c>
    </row>
    <row r="22" spans="1:3" x14ac:dyDescent="0.2">
      <c r="A22" s="4">
        <f t="shared" si="0"/>
        <v>2.9166666666666668E-3</v>
      </c>
      <c r="B22" s="3">
        <v>3.5000000000000003E-2</v>
      </c>
      <c r="C22" s="2">
        <f t="shared" si="1"/>
        <v>545.752349107692</v>
      </c>
    </row>
    <row r="23" spans="1:3" x14ac:dyDescent="0.2">
      <c r="A23" s="4">
        <f t="shared" si="0"/>
        <v>3.3333333333333335E-3</v>
      </c>
      <c r="B23" s="3">
        <v>0.04</v>
      </c>
      <c r="C23" s="2">
        <f t="shared" si="1"/>
        <v>552.49566165799058</v>
      </c>
    </row>
    <row r="24" spans="1:3" x14ac:dyDescent="0.2">
      <c r="A24" s="4">
        <f t="shared" si="0"/>
        <v>3.7499999999999999E-3</v>
      </c>
      <c r="B24" s="3">
        <v>4.4999999999999998E-2</v>
      </c>
      <c r="C24" s="2">
        <f t="shared" si="1"/>
        <v>559.29057724549943</v>
      </c>
    </row>
    <row r="25" spans="1:3" x14ac:dyDescent="0.2">
      <c r="A25" s="4">
        <f t="shared" si="0"/>
        <v>4.1666666666666666E-3</v>
      </c>
      <c r="B25" s="3">
        <v>0.05</v>
      </c>
      <c r="C25" s="2">
        <f t="shared" si="1"/>
        <v>566.13700932032805</v>
      </c>
    </row>
    <row r="26" spans="1:3" x14ac:dyDescent="0.2">
      <c r="A26" s="4">
        <f t="shared" si="0"/>
        <v>4.5833333333333334E-3</v>
      </c>
      <c r="B26" s="3">
        <v>5.5E-2</v>
      </c>
      <c r="C26" s="2">
        <f t="shared" si="1"/>
        <v>573.03486515346731</v>
      </c>
    </row>
    <row r="27" spans="1:3" x14ac:dyDescent="0.2">
      <c r="A27" s="4">
        <f t="shared" si="0"/>
        <v>5.0000000000000001E-3</v>
      </c>
      <c r="B27" s="3">
        <v>0.06</v>
      </c>
      <c r="C27" s="2">
        <f t="shared" si="1"/>
        <v>579.98404588283745</v>
      </c>
    </row>
    <row r="28" spans="1:3" x14ac:dyDescent="0.2">
      <c r="A28" s="4">
        <f t="shared" si="0"/>
        <v>5.4166666666666669E-3</v>
      </c>
      <c r="B28" s="3">
        <v>6.5000000000000002E-2</v>
      </c>
      <c r="C28" s="2">
        <f t="shared" si="1"/>
        <v>586.9844465618562</v>
      </c>
    </row>
    <row r="29" spans="1:3" x14ac:dyDescent="0.2">
      <c r="A29" s="4">
        <f t="shared" si="0"/>
        <v>5.8333333333333336E-3</v>
      </c>
      <c r="B29" s="3">
        <v>7.0000000000000007E-2</v>
      </c>
      <c r="C29" s="2">
        <f t="shared" si="1"/>
        <v>594.03595621048612</v>
      </c>
    </row>
  </sheetData>
  <mergeCells count="2">
    <mergeCell ref="A6:C6"/>
    <mergeCell ref="A12:D12"/>
  </mergeCells>
  <hyperlinks>
    <hyperlink ref="B4" r:id="rId1" xr:uid="{F1A99C2C-4129-EC43-82BE-9E3123070280}"/>
  </hyperlinks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CDCBAB-9DB3-E64B-B959-28B7ADE1A7D3}">
  <dimension ref="A1:C22"/>
  <sheetViews>
    <sheetView tabSelected="1" zoomScale="125" zoomScaleNormal="125" workbookViewId="0">
      <selection activeCell="C27" sqref="C27"/>
    </sheetView>
  </sheetViews>
  <sheetFormatPr baseColWidth="10" defaultRowHeight="16" x14ac:dyDescent="0.2"/>
  <cols>
    <col min="1" max="1" width="17.1640625" customWidth="1"/>
    <col min="2" max="2" width="25.5" customWidth="1"/>
    <col min="3" max="3" width="19.6640625" customWidth="1"/>
  </cols>
  <sheetData>
    <row r="1" spans="1:3" x14ac:dyDescent="0.2">
      <c r="A1" t="s">
        <v>0</v>
      </c>
      <c r="B1" s="15" t="s">
        <v>4</v>
      </c>
    </row>
    <row r="2" spans="1:3" x14ac:dyDescent="0.2">
      <c r="A2" t="s">
        <v>1</v>
      </c>
      <c r="B2" s="15" t="s">
        <v>5</v>
      </c>
    </row>
    <row r="3" spans="1:3" x14ac:dyDescent="0.2">
      <c r="A3" t="s">
        <v>2</v>
      </c>
      <c r="B3" s="15">
        <v>210400970</v>
      </c>
    </row>
    <row r="4" spans="1:3" x14ac:dyDescent="0.2">
      <c r="A4" t="s">
        <v>3</v>
      </c>
      <c r="B4" s="16" t="s">
        <v>6</v>
      </c>
    </row>
    <row r="6" spans="1:3" ht="17" thickBot="1" x14ac:dyDescent="0.25">
      <c r="A6" t="s">
        <v>19</v>
      </c>
    </row>
    <row r="7" spans="1:3" x14ac:dyDescent="0.2">
      <c r="A7" s="5" t="s">
        <v>13</v>
      </c>
      <c r="B7" s="18">
        <v>30000</v>
      </c>
    </row>
    <row r="8" spans="1:3" x14ac:dyDescent="0.2">
      <c r="A8" s="6" t="s">
        <v>20</v>
      </c>
      <c r="B8" s="13">
        <v>5</v>
      </c>
    </row>
    <row r="9" spans="1:3" ht="17" thickBot="1" x14ac:dyDescent="0.25">
      <c r="A9" s="7" t="s">
        <v>15</v>
      </c>
      <c r="B9" s="17">
        <v>60</v>
      </c>
    </row>
    <row r="11" spans="1:3" x14ac:dyDescent="0.2">
      <c r="A11" s="1" t="s">
        <v>16</v>
      </c>
      <c r="B11" s="1" t="s">
        <v>17</v>
      </c>
      <c r="C11" s="1" t="s">
        <v>18</v>
      </c>
    </row>
    <row r="12" spans="1:3" x14ac:dyDescent="0.2">
      <c r="A12" s="20">
        <f>B12/12</f>
        <v>1.6666666666666668E-3</v>
      </c>
      <c r="B12" s="20">
        <v>0.02</v>
      </c>
      <c r="C12" s="19">
        <f>ABS(PMT(B12/12, $B$8*12, $B$7))</f>
        <v>525.83280159733135</v>
      </c>
    </row>
    <row r="13" spans="1:3" x14ac:dyDescent="0.2">
      <c r="A13" s="20">
        <f t="shared" ref="A13:A22" si="0">B13/12</f>
        <v>2.0833333333333333E-3</v>
      </c>
      <c r="B13" s="20">
        <v>2.5000000000000001E-2</v>
      </c>
      <c r="C13" s="19">
        <f t="shared" ref="C13:C22" si="1">ABS(PMT(B13/12, $B$8*12, $B$7))</f>
        <v>532.4208481644082</v>
      </c>
    </row>
    <row r="14" spans="1:3" x14ac:dyDescent="0.2">
      <c r="A14" s="20">
        <f t="shared" si="0"/>
        <v>2.5000000000000001E-3</v>
      </c>
      <c r="B14" s="20">
        <v>0.03</v>
      </c>
      <c r="C14" s="19">
        <f t="shared" si="1"/>
        <v>539.06071992189413</v>
      </c>
    </row>
    <row r="15" spans="1:3" x14ac:dyDescent="0.2">
      <c r="A15" s="20">
        <f t="shared" si="0"/>
        <v>2.9166666666666668E-3</v>
      </c>
      <c r="B15" s="20">
        <v>3.5000000000000003E-2</v>
      </c>
      <c r="C15" s="19">
        <f t="shared" si="1"/>
        <v>545.752349107692</v>
      </c>
    </row>
    <row r="16" spans="1:3" x14ac:dyDescent="0.2">
      <c r="A16" s="20">
        <f t="shared" si="0"/>
        <v>3.3333333333333335E-3</v>
      </c>
      <c r="B16" s="20">
        <v>0.04</v>
      </c>
      <c r="C16" s="19">
        <f t="shared" si="1"/>
        <v>552.49566165799058</v>
      </c>
    </row>
    <row r="17" spans="1:3" x14ac:dyDescent="0.2">
      <c r="A17" s="20">
        <f t="shared" si="0"/>
        <v>3.7499999999999999E-3</v>
      </c>
      <c r="B17" s="20">
        <v>4.4999999999999998E-2</v>
      </c>
      <c r="C17" s="19">
        <f t="shared" si="1"/>
        <v>559.29057724549943</v>
      </c>
    </row>
    <row r="18" spans="1:3" x14ac:dyDescent="0.2">
      <c r="A18" s="20">
        <f t="shared" si="0"/>
        <v>4.1666666666666666E-3</v>
      </c>
      <c r="B18" s="20">
        <v>0.05</v>
      </c>
      <c r="C18" s="19">
        <f t="shared" si="1"/>
        <v>566.13700932032805</v>
      </c>
    </row>
    <row r="19" spans="1:3" x14ac:dyDescent="0.2">
      <c r="A19" s="20">
        <f t="shared" si="0"/>
        <v>4.5833333333333334E-3</v>
      </c>
      <c r="B19" s="20">
        <v>5.5E-2</v>
      </c>
      <c r="C19" s="19">
        <f t="shared" si="1"/>
        <v>573.03486515346731</v>
      </c>
    </row>
    <row r="20" spans="1:3" x14ac:dyDescent="0.2">
      <c r="A20" s="20">
        <f t="shared" si="0"/>
        <v>5.0000000000000001E-3</v>
      </c>
      <c r="B20" s="20">
        <v>0.06</v>
      </c>
      <c r="C20" s="19">
        <f t="shared" si="1"/>
        <v>579.98404588283745</v>
      </c>
    </row>
    <row r="21" spans="1:3" x14ac:dyDescent="0.2">
      <c r="A21" s="20">
        <f t="shared" si="0"/>
        <v>5.4166666666666669E-3</v>
      </c>
      <c r="B21" s="20">
        <v>6.5000000000000002E-2</v>
      </c>
      <c r="C21" s="19">
        <f t="shared" si="1"/>
        <v>586.9844465618562</v>
      </c>
    </row>
    <row r="22" spans="1:3" x14ac:dyDescent="0.2">
      <c r="A22" s="20">
        <f t="shared" si="0"/>
        <v>5.8333333333333336E-3</v>
      </c>
      <c r="B22" s="20">
        <v>7.0000000000000007E-2</v>
      </c>
      <c r="C22" s="19">
        <f t="shared" si="1"/>
        <v>594.03595621048612</v>
      </c>
    </row>
  </sheetData>
  <hyperlinks>
    <hyperlink ref="B4" r:id="rId1" xr:uid="{1B116B3B-B254-AA4F-9B90-8CE38C11DBA1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4" name="Button 4">
              <controlPr defaultSize="0" print="0" autoFill="0" autoPict="0" macro="[0]!Monthly_payment">
                <anchor moveWithCells="1" sizeWithCells="1">
                  <from>
                    <xdr:col>2</xdr:col>
                    <xdr:colOff>596900</xdr:colOff>
                    <xdr:row>1</xdr:row>
                    <xdr:rowOff>127000</xdr:rowOff>
                  </from>
                  <to>
                    <xdr:col>5</xdr:col>
                    <xdr:colOff>38100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PMT</vt:lpstr>
      <vt:lpstr>Macro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Carolyn Phuong</dc:creator>
  <cp:lastModifiedBy>Carolyn Phuong</cp:lastModifiedBy>
  <dcterms:created xsi:type="dcterms:W3CDTF">2024-05-20T20:36:32Z</dcterms:created>
  <dcterms:modified xsi:type="dcterms:W3CDTF">2024-05-22T16:24:26Z</dcterms:modified>
</cp:coreProperties>
</file>